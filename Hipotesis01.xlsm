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ocuments\GitHub\MDE\MDE\"/>
    </mc:Choice>
  </mc:AlternateContent>
  <xr:revisionPtr revIDLastSave="0" documentId="13_ncr:1_{6BE88E0C-069B-4FAA-9EC3-864B58D5B1ED}" xr6:coauthVersionLast="47" xr6:coauthVersionMax="47" xr10:uidLastSave="{00000000-0000-0000-0000-000000000000}"/>
  <bookViews>
    <workbookView xWindow="-120" yWindow="-120" windowWidth="29040" windowHeight="15720" activeTab="2" xr2:uid="{C371170F-BD7F-4E4B-9ADE-E25935C7E0C8}"/>
  </bookViews>
  <sheets>
    <sheet name="Agrupamiento01_01" sheetId="7" r:id="rId1"/>
    <sheet name="Agrupamiento02_02" sheetId="8" r:id="rId2"/>
    <sheet name="Agrupamiento01vs02" sheetId="1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" i="10" l="1"/>
  <c r="O3" i="10"/>
  <c r="P4" i="10"/>
  <c r="Q4" i="10" s="1"/>
  <c r="P3" i="10"/>
  <c r="Q3" i="10" s="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1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1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1" i="10"/>
  <c r="B2" i="10" l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1" i="10"/>
  <c r="A256" i="10"/>
  <c r="A257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1" i="10"/>
</calcChain>
</file>

<file path=xl/sharedStrings.xml><?xml version="1.0" encoding="utf-8"?>
<sst xmlns="http://schemas.openxmlformats.org/spreadsheetml/2006/main" count="852" uniqueCount="61">
  <si>
    <t>Crucigrama</t>
  </si>
  <si>
    <t>Repaso Windows</t>
  </si>
  <si>
    <t>7.0.1.2 ¿Qué está sucediendo?</t>
  </si>
  <si>
    <t>7.3.1.6 Explorar tráfico DNS</t>
  </si>
  <si>
    <t>7.3.2.4 Atacar una base de datos mySQL</t>
  </si>
  <si>
    <t>7.3.2.5 Leer archivos de registro</t>
  </si>
  <si>
    <t>9.0.1.2 Creando código</t>
  </si>
  <si>
    <t>9.1.1.6 Ecriptando y desencriptando , openssl</t>
  </si>
  <si>
    <t>1.1.1.4 instalación de la máquina virtual</t>
  </si>
  <si>
    <t>Identificando procesos</t>
  </si>
  <si>
    <t>2.2.1.12 Windows Task Manager</t>
  </si>
  <si>
    <t>2.2.1.13 Monitoreando y administrando los recursos en windows</t>
  </si>
  <si>
    <t>3.1.2.6 Trabajando con archivos a través de la cli Linux</t>
  </si>
  <si>
    <t>3.1.2.7 Familiarizándose con Linux</t>
  </si>
  <si>
    <t>3.1.3.4 Servidores linux</t>
  </si>
  <si>
    <t>4.4.2.8 Usando Wireshark para examinar el Frame de Ethernet</t>
  </si>
  <si>
    <t>4.5.2.4 Usando wireshark para observar el saludo de tres vías</t>
  </si>
  <si>
    <t>4.5.2.10 Explorando Nmap</t>
  </si>
  <si>
    <t>Uso de sniffer para trama ethenet II en Packet tracer</t>
  </si>
  <si>
    <t>Packet tracer, Frame y TCP, captura de tráfico</t>
  </si>
  <si>
    <t>6.2.1.11 Anatomía de un malware</t>
  </si>
  <si>
    <t>6.2.2.9 Ingeniería social</t>
  </si>
  <si>
    <t>idcurso</t>
  </si>
  <si>
    <t>nota</t>
  </si>
  <si>
    <t>fechanota</t>
  </si>
  <si>
    <t>elementocalificador</t>
  </si>
  <si>
    <t>rank</t>
  </si>
  <si>
    <t>idactividad</t>
  </si>
  <si>
    <t>Foro de la unidad 1: preguntas, dudas, comentarios y retroalimentación.</t>
  </si>
  <si>
    <t>Buzón de Examen Diagnóstico</t>
  </si>
  <si>
    <t>Buzón de la tarea 1</t>
  </si>
  <si>
    <t>Buzón de la tarea 2</t>
  </si>
  <si>
    <t>Buzón de la tarea 3</t>
  </si>
  <si>
    <t>Buzón de la tarea 4</t>
  </si>
  <si>
    <t>Buzón de la tarea 5</t>
  </si>
  <si>
    <t>Buzón de la tarea 6</t>
  </si>
  <si>
    <t>Buzón del reporte 1</t>
  </si>
  <si>
    <t>Examen virtual 1</t>
  </si>
  <si>
    <t>Buzón del Examen I</t>
  </si>
  <si>
    <t>Buzón de la tarea 7</t>
  </si>
  <si>
    <t xml:space="preserve">Buzón de tarea 7 y 8 </t>
  </si>
  <si>
    <t>Buzón de la terea 9</t>
  </si>
  <si>
    <t>Buzón de reporte 2</t>
  </si>
  <si>
    <t>Examen virtual 2</t>
  </si>
  <si>
    <t>Buzón de examen 2</t>
  </si>
  <si>
    <t>Buzón de la tarea 10</t>
  </si>
  <si>
    <t>Buzón de la tarea 11</t>
  </si>
  <si>
    <t>Buzón de reporte 3</t>
  </si>
  <si>
    <t>Examen virtual 3</t>
  </si>
  <si>
    <t>Buzón de examen 3</t>
  </si>
  <si>
    <t>Cumple</t>
  </si>
  <si>
    <t>SI</t>
  </si>
  <si>
    <t>En cada actividad el 80 % del 20% de alumnos que tienen mejor calificación es porque pertenecen al 20% de los primeros alumnos que entregan.</t>
  </si>
  <si>
    <t>Porcentaje</t>
  </si>
  <si>
    <t>Curso 2</t>
  </si>
  <si>
    <t>Curso 4</t>
  </si>
  <si>
    <t>id actividad</t>
  </si>
  <si>
    <t>Curso</t>
  </si>
  <si>
    <t>NO</t>
  </si>
  <si>
    <t>idalumno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</si>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</sst>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ill="1"/>
    <xf numFmtId="9" fontId="0" fillId="0" borderId="0" xfId="1" applyFont="1" applyFill="1"/>
    <xf numFmtId="9" fontId="0" fillId="0" borderId="0" xfId="1" applyFont="1" applyAlignment="1">
      <alignment horizontal="center" vertical="center"/>
    </xf>
    <xf numFmtId="9" fontId="0" fillId="0" borderId="0" xfId="1" applyFont="1"/>
    <xf numFmtId="0" fontId="0" fillId="0" borderId="0" xfId="1" applyNumberFormat="1" applyFont="1" applyAlignment="1">
      <alignment horizontal="center" vertical="center"/>
    </xf>
    <xf numFmtId="0" fontId="0" fillId="0" borderId="0" xfId="1" applyNumberFormat="1" applyFont="1"/>
    <xf numFmtId="9" fontId="3" fillId="0" borderId="0" xfId="1" applyFont="1"/>
  </cellXfs>
  <cellStyles count="2">
    <cellStyle name="Normal" xfId="0" builtinId="0"/>
    <cellStyle name="Porcentaje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Porcentaje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Agrupamiento01vs02!$I$3:$I$46</c:f>
              <c:numCache>
                <c:formatCode>General</c:formatCode>
                <c:ptCount val="44"/>
                <c:pt idx="0">
                  <c:v>2</c:v>
                </c:pt>
                <c:pt idx="1">
                  <c:v>9</c:v>
                </c:pt>
                <c:pt idx="2">
                  <c:v>17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61</c:v>
                </c:pt>
                <c:pt idx="13">
                  <c:v>68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90</c:v>
                </c:pt>
                <c:pt idx="21">
                  <c:v>91</c:v>
                </c:pt>
                <c:pt idx="22">
                  <c:v>143</c:v>
                </c:pt>
                <c:pt idx="23">
                  <c:v>150</c:v>
                </c:pt>
                <c:pt idx="24">
                  <c:v>158</c:v>
                </c:pt>
                <c:pt idx="25">
                  <c:v>174</c:v>
                </c:pt>
                <c:pt idx="26">
                  <c:v>175</c:v>
                </c:pt>
                <c:pt idx="27">
                  <c:v>183</c:v>
                </c:pt>
                <c:pt idx="28">
                  <c:v>184</c:v>
                </c:pt>
                <c:pt idx="29">
                  <c:v>185</c:v>
                </c:pt>
                <c:pt idx="30">
                  <c:v>188</c:v>
                </c:pt>
                <c:pt idx="31">
                  <c:v>191</c:v>
                </c:pt>
                <c:pt idx="32">
                  <c:v>192</c:v>
                </c:pt>
                <c:pt idx="33">
                  <c:v>193</c:v>
                </c:pt>
                <c:pt idx="34">
                  <c:v>202</c:v>
                </c:pt>
                <c:pt idx="35">
                  <c:v>209</c:v>
                </c:pt>
                <c:pt idx="36">
                  <c:v>222</c:v>
                </c:pt>
                <c:pt idx="37">
                  <c:v>223</c:v>
                </c:pt>
                <c:pt idx="38">
                  <c:v>224</c:v>
                </c:pt>
                <c:pt idx="39">
                  <c:v>225</c:v>
                </c:pt>
                <c:pt idx="40">
                  <c:v>226</c:v>
                </c:pt>
                <c:pt idx="41">
                  <c:v>227</c:v>
                </c:pt>
                <c:pt idx="42">
                  <c:v>231</c:v>
                </c:pt>
                <c:pt idx="43">
                  <c:v>232</c:v>
                </c:pt>
              </c:numCache>
            </c:numRef>
          </c:cat>
          <c:val>
            <c:numRef>
              <c:f>Agrupamiento01vs02!$J$3:$J$46</c:f>
              <c:numCache>
                <c:formatCode>0%</c:formatCode>
                <c:ptCount val="44"/>
                <c:pt idx="0">
                  <c:v>0.75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0.25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0.25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IdActividad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Agrupamiento01vs02!$I$47:$I$68</c:f>
              <c:numCache>
                <c:formatCode>General</c:formatCode>
                <c:ptCount val="22"/>
                <c:pt idx="0">
                  <c:v>110</c:v>
                </c:pt>
                <c:pt idx="1">
                  <c:v>112</c:v>
                </c:pt>
                <c:pt idx="2">
                  <c:v>113</c:v>
                </c:pt>
                <c:pt idx="3">
                  <c:v>114</c:v>
                </c:pt>
                <c:pt idx="4">
                  <c:v>115</c:v>
                </c:pt>
                <c:pt idx="5">
                  <c:v>116</c:v>
                </c:pt>
                <c:pt idx="6">
                  <c:v>117</c:v>
                </c:pt>
                <c:pt idx="7">
                  <c:v>118</c:v>
                </c:pt>
                <c:pt idx="8">
                  <c:v>119</c:v>
                </c:pt>
                <c:pt idx="9">
                  <c:v>120</c:v>
                </c:pt>
                <c:pt idx="10">
                  <c:v>121</c:v>
                </c:pt>
                <c:pt idx="11">
                  <c:v>123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128</c:v>
                </c:pt>
                <c:pt idx="16">
                  <c:v>129</c:v>
                </c:pt>
                <c:pt idx="17">
                  <c:v>131</c:v>
                </c:pt>
                <c:pt idx="18">
                  <c:v>132</c:v>
                </c:pt>
                <c:pt idx="19">
                  <c:v>133</c:v>
                </c:pt>
                <c:pt idx="20">
                  <c:v>134</c:v>
                </c:pt>
                <c:pt idx="21">
                  <c:v>135</c:v>
                </c:pt>
              </c:numCache>
            </c:numRef>
          </c:cat>
          <c:val>
            <c:numRef>
              <c:f>Agrupamiento01vs02!$J$47:$J$68</c:f>
              <c:numCache>
                <c:formatCode>0%</c:formatCode>
                <c:ptCount val="22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0.75</c:v>
                </c:pt>
                <c:pt idx="13">
                  <c:v>1</c:v>
                </c:pt>
                <c:pt idx="14">
                  <c:v>1</c:v>
                </c:pt>
                <c:pt idx="15">
                  <c:v>0.5</c:v>
                </c:pt>
                <c:pt idx="16">
                  <c:v>0.75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0.75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Mineria de Datos Educativa en Cuvalles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404608315421676"/>
          <c:y val="0.13631788593925104"/>
          <c:w val="0.81810401598492477"/>
          <c:h val="0.58627736177211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Agrupamiento01vs02!$N$2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Agrupamiento01vs02!$N$3:$N$4</c:f>
              <c:numCache>
                <c:formatCode>General</c:formatCode>
                <c:ptCount val="2"/>
                <c:pt idx="0">
                  <c:v>41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7-491F-B2F7-D2EFC033105D}"/>
            </c:ext>
          </c:extLst>
        </c:ser>
        <c:ser>
          <c:idx val="1"/>
          <c:order val="1"/>
          <c:tx>
            <c:strRef>
              <c:f>Agrupamiento01vs02!$O$2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Agrupamiento01vs02!$O$3:$O$4</c:f>
              <c:numCache>
                <c:formatCode>General</c:formatCode>
                <c:ptCount val="2"/>
                <c:pt idx="0">
                  <c:v>3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7-491F-B2F7-D2EFC033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451568"/>
        <c:axId val="534448240"/>
      </c:barChart>
      <c:catAx>
        <c:axId val="5344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Cursos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48240"/>
        <c:crosses val="autoZero"/>
        <c:auto val="1"/>
        <c:lblAlgn val="ctr"/>
        <c:lblOffset val="100"/>
        <c:noMultiLvlLbl val="0"/>
      </c:catAx>
      <c:valAx>
        <c:axId val="534448240"/>
        <c:scaling>
          <c:orientation val="minMax"/>
          <c:max val="4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actividades</a:t>
                </a:r>
              </a:p>
            </c:rich>
          </c:tx>
          <c:layout>
            <c:manualLayout>
              <c:xMode val="edge"/>
              <c:yMode val="edge"/>
              <c:x val="4.705882954226312E-2"/>
              <c:y val="0.20435914509016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5156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100010</xdr:colOff>
      <xdr:row>34</xdr:row>
      <xdr:rowOff>25400</xdr:rowOff>
    </xdr:from>
    <xdr:to>
      <xdr:col>25</xdr:col>
      <xdr:colOff>174625</xdr:colOff>
      <xdr:row>53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D4350-8FB3-85DE-3CAE-45B0A6B4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106361</xdr:colOff>
      <xdr:row>54</xdr:row>
      <xdr:rowOff>53975</xdr:rowOff>
    </xdr:from>
    <xdr:to>
      <xdr:col>25</xdr:col>
      <xdr:colOff>111125</xdr:colOff>
      <xdr:row>76</xdr:row>
      <xdr:rowOff>111125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4F80FA6-0C0E-7A57-0AAC-2C4A3A0BC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</xdr:colOff>
      <xdr:row>6</xdr:row>
      <xdr:rowOff>0</xdr:rowOff>
    </xdr:from>
    <xdr:to>
      <xdr:col>22</xdr:col>
      <xdr:colOff>206375</xdr:colOff>
      <xdr:row>29</xdr:row>
      <xdr:rowOff>15876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DD9E01-5A9C-4A34-94B3-889933199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F6E0-F9EE-48D1-A541-7AD8B9219E87}">
  <sheetPr codeName="Hoja1"/>
  <dimension ref="A1:G359"/>
  <sheetViews>
    <sheetView workbookViewId="0"/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7109375" bestFit="1" customWidth="1"/>
    <col min="4" max="4" width="9.4257812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59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26</v>
      </c>
      <c r="E2">
        <v>100</v>
      </c>
      <c r="F2" s="1">
        <v>44088.174884259257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28</v>
      </c>
      <c r="E3">
        <v>100</v>
      </c>
      <c r="F3" s="1">
        <v>44088.713472222225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8</v>
      </c>
      <c r="E4">
        <v>98</v>
      </c>
      <c r="F4" s="1">
        <v>44088.014027777775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19</v>
      </c>
      <c r="E5">
        <v>90</v>
      </c>
      <c r="F5" s="1">
        <v>44089.170798611114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38</v>
      </c>
      <c r="E6">
        <v>100</v>
      </c>
      <c r="F6" s="1">
        <v>44182.815497685187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44</v>
      </c>
      <c r="E7">
        <v>100</v>
      </c>
      <c r="F7" s="1">
        <v>44182.815532407411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6</v>
      </c>
      <c r="E8">
        <v>100</v>
      </c>
      <c r="F8" s="1">
        <v>44182.816747685189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8</v>
      </c>
      <c r="E9">
        <v>100</v>
      </c>
      <c r="F9" s="1">
        <v>44182.817210648151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45</v>
      </c>
      <c r="E43">
        <v>100</v>
      </c>
      <c r="F43" s="1">
        <v>44183.136655092596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50</v>
      </c>
      <c r="E44">
        <v>100</v>
      </c>
      <c r="F44" s="1">
        <v>44183.137256944443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52</v>
      </c>
      <c r="E45">
        <v>100</v>
      </c>
      <c r="F45" s="1">
        <v>44183.138182870367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28</v>
      </c>
      <c r="E73">
        <v>100</v>
      </c>
      <c r="F73" s="1">
        <v>44183.256932870368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33</v>
      </c>
      <c r="E74">
        <v>100</v>
      </c>
      <c r="F74" s="1">
        <v>44183.257673611108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26</v>
      </c>
      <c r="E87">
        <v>100</v>
      </c>
      <c r="F87" s="1">
        <v>44088.174884259257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28</v>
      </c>
      <c r="E88">
        <v>100</v>
      </c>
      <c r="F88" s="1">
        <v>44088.713472222225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8</v>
      </c>
      <c r="E89">
        <v>98</v>
      </c>
      <c r="F89" s="1">
        <v>44088.014027777775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19</v>
      </c>
      <c r="E90">
        <v>90</v>
      </c>
      <c r="F90" s="1">
        <v>44089.170798611114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38</v>
      </c>
      <c r="E91">
        <v>100</v>
      </c>
      <c r="F91" s="1">
        <v>44182.815497685187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44</v>
      </c>
      <c r="E92">
        <v>100</v>
      </c>
      <c r="F92" s="1">
        <v>44182.815532407411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6</v>
      </c>
      <c r="E93">
        <v>100</v>
      </c>
      <c r="F93" s="1">
        <v>44182.816747685189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8</v>
      </c>
      <c r="E94">
        <v>100</v>
      </c>
      <c r="F94" s="1">
        <v>44182.817210648151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45</v>
      </c>
      <c r="E128">
        <v>100</v>
      </c>
      <c r="F128" s="1">
        <v>44183.136655092596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50</v>
      </c>
      <c r="E129">
        <v>100</v>
      </c>
      <c r="F129" s="1">
        <v>44183.137256944443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52</v>
      </c>
      <c r="E130">
        <v>100</v>
      </c>
      <c r="F130" s="1">
        <v>44183.138182870367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28</v>
      </c>
      <c r="E158">
        <v>100</v>
      </c>
      <c r="F158" s="1">
        <v>44183.256932870368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33</v>
      </c>
      <c r="E159">
        <v>100</v>
      </c>
      <c r="F159" s="1">
        <v>44183.257673611108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109</v>
      </c>
      <c r="E178">
        <v>100</v>
      </c>
      <c r="F178" s="1">
        <v>44265.050173611111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100</v>
      </c>
      <c r="E179">
        <v>90</v>
      </c>
      <c r="F179" s="1">
        <v>44264.731909722221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70</v>
      </c>
      <c r="E181">
        <v>80</v>
      </c>
      <c r="F181" s="1">
        <v>44264.715486111112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112</v>
      </c>
      <c r="E186">
        <v>100</v>
      </c>
      <c r="F186" s="1">
        <v>44276.101180555554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114</v>
      </c>
      <c r="E187">
        <v>100</v>
      </c>
      <c r="F187" s="1">
        <v>44276.104490740741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101</v>
      </c>
      <c r="E188">
        <v>100</v>
      </c>
      <c r="F188" s="1">
        <v>44276.117951388886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99</v>
      </c>
      <c r="E190">
        <v>90</v>
      </c>
      <c r="F190" s="1">
        <v>44284.630347222221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102</v>
      </c>
      <c r="E191">
        <v>90</v>
      </c>
      <c r="F191" s="1">
        <v>44284.635775462964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109</v>
      </c>
      <c r="E193">
        <v>90</v>
      </c>
      <c r="F193" s="1">
        <v>44284.649583333332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70</v>
      </c>
      <c r="E194">
        <v>100</v>
      </c>
      <c r="F194" s="1">
        <v>44303.825023148151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102</v>
      </c>
      <c r="E195">
        <v>100</v>
      </c>
      <c r="F195" s="1">
        <v>44303.830775462964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103</v>
      </c>
      <c r="E196">
        <v>100</v>
      </c>
      <c r="F196" s="1">
        <v>44303.831365740742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105</v>
      </c>
      <c r="E197">
        <v>100</v>
      </c>
      <c r="F197" s="1">
        <v>44303.833252314813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70</v>
      </c>
      <c r="E202">
        <v>100</v>
      </c>
      <c r="F202" s="1">
        <v>44318.0390625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99</v>
      </c>
      <c r="E203">
        <v>100</v>
      </c>
      <c r="F203" s="1">
        <v>44318.040879629632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100</v>
      </c>
      <c r="E204">
        <v>100</v>
      </c>
      <c r="F204" s="1">
        <v>44318.041666666664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102</v>
      </c>
      <c r="E205">
        <v>100</v>
      </c>
      <c r="F205" s="1">
        <v>44318.043761574074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112</v>
      </c>
      <c r="E207">
        <v>100</v>
      </c>
      <c r="F207" s="1">
        <v>44318.060057870367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109</v>
      </c>
      <c r="E208">
        <v>90</v>
      </c>
      <c r="F208" s="1">
        <v>44318.071226851855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101</v>
      </c>
      <c r="E210">
        <v>100</v>
      </c>
      <c r="F210" s="1">
        <v>44318.68787037037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113</v>
      </c>
      <c r="E211">
        <v>90</v>
      </c>
      <c r="F211" s="1">
        <v>44318.081875000003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103</v>
      </c>
      <c r="E212">
        <v>90</v>
      </c>
      <c r="F212" s="1">
        <v>44318.69127314815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111</v>
      </c>
      <c r="E215">
        <v>80</v>
      </c>
      <c r="F215" s="1">
        <v>44328.022511574076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112</v>
      </c>
      <c r="E216">
        <v>80</v>
      </c>
      <c r="F216" s="1">
        <v>44328.023541666669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70</v>
      </c>
      <c r="E217">
        <v>80</v>
      </c>
      <c r="F217" s="1">
        <v>44328.025046296294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103</v>
      </c>
      <c r="E218">
        <v>100</v>
      </c>
      <c r="F218" s="1">
        <v>44339.686793981484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111</v>
      </c>
      <c r="E220">
        <v>80</v>
      </c>
      <c r="F220" s="1">
        <v>44339.695763888885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112</v>
      </c>
      <c r="E221">
        <v>75</v>
      </c>
      <c r="F221" s="1">
        <v>44339.667812500003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99</v>
      </c>
      <c r="E222">
        <v>100</v>
      </c>
      <c r="F222" s="1">
        <v>44345.786504629628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102</v>
      </c>
      <c r="E223">
        <v>100</v>
      </c>
      <c r="F223" s="1">
        <v>44345.792222222219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111</v>
      </c>
      <c r="E225">
        <v>95</v>
      </c>
      <c r="F225" s="1">
        <v>44345.77784722222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99</v>
      </c>
      <c r="E227">
        <v>100</v>
      </c>
      <c r="F227" s="1">
        <v>44353.01053240741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100</v>
      </c>
      <c r="E228">
        <v>100</v>
      </c>
      <c r="F228" s="1">
        <v>44353.011134259257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101</v>
      </c>
      <c r="E229">
        <v>100</v>
      </c>
      <c r="F229" s="1">
        <v>44353.011597222219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100</v>
      </c>
      <c r="E230">
        <v>80</v>
      </c>
      <c r="F230" s="1">
        <v>44348.727650462963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101</v>
      </c>
      <c r="E231">
        <v>80</v>
      </c>
      <c r="F231" s="1">
        <v>44348.730543981481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103</v>
      </c>
      <c r="E232">
        <v>80</v>
      </c>
      <c r="F232" s="1">
        <v>44348.731365740743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108</v>
      </c>
      <c r="E233">
        <v>80</v>
      </c>
      <c r="F233" s="1">
        <v>44348.733483796299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112</v>
      </c>
      <c r="E234">
        <v>100</v>
      </c>
      <c r="F234" s="1">
        <v>44352.982141203705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100</v>
      </c>
      <c r="E235">
        <v>100</v>
      </c>
      <c r="F235" s="1">
        <v>44352.991793981484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101</v>
      </c>
      <c r="E236">
        <v>100</v>
      </c>
      <c r="F236" s="1">
        <v>44352.992349537039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103</v>
      </c>
      <c r="E237">
        <v>100</v>
      </c>
      <c r="F237" s="1">
        <v>44352.995127314818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112</v>
      </c>
      <c r="E242">
        <v>100</v>
      </c>
      <c r="F242" s="1">
        <v>44369.61650462963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99</v>
      </c>
      <c r="E243">
        <v>100</v>
      </c>
      <c r="F243" s="1">
        <v>44369.61822916667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101</v>
      </c>
      <c r="E244">
        <v>100</v>
      </c>
      <c r="F244" s="1">
        <v>44369.619710648149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102</v>
      </c>
      <c r="E245">
        <v>100</v>
      </c>
      <c r="F245" s="1">
        <v>44369.620405092595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101</v>
      </c>
      <c r="E249">
        <v>100</v>
      </c>
      <c r="F249" s="1">
        <v>44374.958090277774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111</v>
      </c>
      <c r="E250">
        <v>100</v>
      </c>
      <c r="F250" s="1">
        <v>44369.751956018517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108</v>
      </c>
      <c r="E251">
        <v>100</v>
      </c>
      <c r="F251" s="1">
        <v>44369.755046296297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102</v>
      </c>
      <c r="E252">
        <v>100</v>
      </c>
      <c r="F252" s="1">
        <v>44369.755162037036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106</v>
      </c>
      <c r="E253">
        <v>100</v>
      </c>
      <c r="F253" s="1">
        <v>44369.771053240744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BDFB-667F-446A-A325-CF3D82419BF2}">
  <sheetPr codeName="Hoja2"/>
  <dimension ref="A1:G359"/>
  <sheetViews>
    <sheetView topLeftCell="A222" workbookViewId="0">
      <selection activeCell="A258" sqref="A258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4" width="10.710937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59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8</v>
      </c>
      <c r="E2">
        <v>98</v>
      </c>
      <c r="F2" s="1">
        <v>44088.014027777775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26</v>
      </c>
      <c r="E3">
        <v>100</v>
      </c>
      <c r="F3" s="1">
        <v>44088.174884259257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28</v>
      </c>
      <c r="E4">
        <v>100</v>
      </c>
      <c r="F4" s="1">
        <v>44088.713472222225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39</v>
      </c>
      <c r="E5">
        <v>51</v>
      </c>
      <c r="F5" s="1">
        <v>44088.841493055559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19</v>
      </c>
      <c r="E6">
        <v>60</v>
      </c>
      <c r="F6" s="1">
        <v>44182.815439814818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38</v>
      </c>
      <c r="E7">
        <v>100</v>
      </c>
      <c r="F7" s="1">
        <v>44182.815497685187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44</v>
      </c>
      <c r="E8">
        <v>100</v>
      </c>
      <c r="F8" s="1">
        <v>44182.815532407411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6</v>
      </c>
      <c r="E9">
        <v>100</v>
      </c>
      <c r="F9" s="1">
        <v>44182.816747685189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43</v>
      </c>
      <c r="E43">
        <v>98</v>
      </c>
      <c r="F43" s="1">
        <v>44183.136099537034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45</v>
      </c>
      <c r="E44">
        <v>100</v>
      </c>
      <c r="F44" s="1">
        <v>44183.136655092596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50</v>
      </c>
      <c r="E45">
        <v>100</v>
      </c>
      <c r="F45" s="1">
        <v>44183.137256944443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26</v>
      </c>
      <c r="E73">
        <v>99</v>
      </c>
      <c r="F73" s="1">
        <v>44183.256585648145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28</v>
      </c>
      <c r="E74">
        <v>100</v>
      </c>
      <c r="F74" s="1">
        <v>44183.256932870368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8</v>
      </c>
      <c r="E87">
        <v>98</v>
      </c>
      <c r="F87" s="1">
        <v>44088.014027777775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26</v>
      </c>
      <c r="E88">
        <v>100</v>
      </c>
      <c r="F88" s="1">
        <v>44088.174884259257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28</v>
      </c>
      <c r="E89">
        <v>100</v>
      </c>
      <c r="F89" s="1">
        <v>44088.713472222225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39</v>
      </c>
      <c r="E90">
        <v>51</v>
      </c>
      <c r="F90" s="1">
        <v>44088.841493055559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19</v>
      </c>
      <c r="E91">
        <v>60</v>
      </c>
      <c r="F91" s="1">
        <v>44182.815439814818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38</v>
      </c>
      <c r="E92">
        <v>100</v>
      </c>
      <c r="F92" s="1">
        <v>44182.815497685187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44</v>
      </c>
      <c r="E93">
        <v>100</v>
      </c>
      <c r="F93" s="1">
        <v>44182.815532407411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6</v>
      </c>
      <c r="E94">
        <v>100</v>
      </c>
      <c r="F94" s="1">
        <v>44182.816747685189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43</v>
      </c>
      <c r="E128">
        <v>98</v>
      </c>
      <c r="F128" s="1">
        <v>44183.136099537034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45</v>
      </c>
      <c r="E129">
        <v>100</v>
      </c>
      <c r="F129" s="1">
        <v>44183.136655092596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50</v>
      </c>
      <c r="E130">
        <v>100</v>
      </c>
      <c r="F130" s="1">
        <v>44183.137256944443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26</v>
      </c>
      <c r="E158">
        <v>99</v>
      </c>
      <c r="F158" s="1">
        <v>44183.256585648145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28</v>
      </c>
      <c r="E159">
        <v>100</v>
      </c>
      <c r="F159" s="1">
        <v>44183.256932870368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112</v>
      </c>
      <c r="E178">
        <v>60</v>
      </c>
      <c r="F178" s="1">
        <v>44264.707048611112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115</v>
      </c>
      <c r="E179">
        <v>70</v>
      </c>
      <c r="F179" s="1">
        <v>44264.712083333332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70</v>
      </c>
      <c r="E180">
        <v>80</v>
      </c>
      <c r="F180" s="1">
        <v>44264.715486111112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99</v>
      </c>
      <c r="E181">
        <v>70</v>
      </c>
      <c r="F181" s="1">
        <v>44264.722893518519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111</v>
      </c>
      <c r="E186">
        <v>60</v>
      </c>
      <c r="F186" s="1">
        <v>44276.100405092591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112</v>
      </c>
      <c r="E187">
        <v>100</v>
      </c>
      <c r="F187" s="1">
        <v>44276.101180555554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113</v>
      </c>
      <c r="E188">
        <v>90</v>
      </c>
      <c r="F188" s="1">
        <v>44276.102199074077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114</v>
      </c>
      <c r="E189">
        <v>100</v>
      </c>
      <c r="F189" s="1">
        <v>44276.104490740741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111</v>
      </c>
      <c r="E190">
        <v>80</v>
      </c>
      <c r="F190" s="1">
        <v>44284.623692129629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113</v>
      </c>
      <c r="E191">
        <v>70</v>
      </c>
      <c r="F191" s="1">
        <v>44284.62771990741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70</v>
      </c>
      <c r="E192">
        <v>60</v>
      </c>
      <c r="F192" s="1">
        <v>44284.629351851851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99</v>
      </c>
      <c r="E193">
        <v>90</v>
      </c>
      <c r="F193" s="1">
        <v>44284.630347222221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111</v>
      </c>
      <c r="E194">
        <v>75</v>
      </c>
      <c r="F194" s="1">
        <v>44303.820416666669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112</v>
      </c>
      <c r="E195">
        <v>95</v>
      </c>
      <c r="F195" s="1">
        <v>44303.823229166665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70</v>
      </c>
      <c r="E196">
        <v>100</v>
      </c>
      <c r="F196" s="1">
        <v>44303.825023148151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100</v>
      </c>
      <c r="E197">
        <v>65</v>
      </c>
      <c r="F197" s="1">
        <v>44303.828113425923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115</v>
      </c>
      <c r="E202">
        <v>60</v>
      </c>
      <c r="F202" s="1">
        <v>44318.038449074076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70</v>
      </c>
      <c r="E203">
        <v>100</v>
      </c>
      <c r="F203" s="1">
        <v>44318.0390625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99</v>
      </c>
      <c r="E204">
        <v>100</v>
      </c>
      <c r="F204" s="1">
        <v>44318.040879629632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100</v>
      </c>
      <c r="E205">
        <v>100</v>
      </c>
      <c r="F205" s="1">
        <v>44318.041666666664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103</v>
      </c>
      <c r="E207">
        <v>80</v>
      </c>
      <c r="F207" s="1">
        <v>44318.056261574071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107</v>
      </c>
      <c r="E208">
        <v>65</v>
      </c>
      <c r="F208" s="1">
        <v>44318.057002314818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111</v>
      </c>
      <c r="E210">
        <v>70</v>
      </c>
      <c r="F210" s="1">
        <v>44318.0780787037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112</v>
      </c>
      <c r="E211">
        <v>80</v>
      </c>
      <c r="F211" s="1">
        <v>44318.079502314817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113</v>
      </c>
      <c r="E212">
        <v>90</v>
      </c>
      <c r="F212" s="1">
        <v>44318.081875000003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70</v>
      </c>
      <c r="E213">
        <v>85</v>
      </c>
      <c r="F213" s="1">
        <v>44318.084583333337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111</v>
      </c>
      <c r="E214">
        <v>80</v>
      </c>
      <c r="F214" s="1">
        <v>44328.022511574076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112</v>
      </c>
      <c r="E215">
        <v>80</v>
      </c>
      <c r="F215" s="1">
        <v>44328.023541666669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70</v>
      </c>
      <c r="E216">
        <v>80</v>
      </c>
      <c r="F216" s="1">
        <v>44328.025046296294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99</v>
      </c>
      <c r="E217">
        <v>80</v>
      </c>
      <c r="F217" s="1">
        <v>44328.026921296296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112</v>
      </c>
      <c r="E218">
        <v>75</v>
      </c>
      <c r="F218" s="1">
        <v>44339.667812500003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99</v>
      </c>
      <c r="E219">
        <v>75</v>
      </c>
      <c r="F219" s="1">
        <v>44339.676192129627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101</v>
      </c>
      <c r="E220">
        <v>75</v>
      </c>
      <c r="F220" s="1">
        <v>44339.681076388886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103</v>
      </c>
      <c r="E221">
        <v>100</v>
      </c>
      <c r="F221" s="1">
        <v>44339.686793981484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111</v>
      </c>
      <c r="E222">
        <v>95</v>
      </c>
      <c r="F222" s="1">
        <v>44345.77784722222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112</v>
      </c>
      <c r="E223">
        <v>60</v>
      </c>
      <c r="F223" s="1">
        <v>44345.782476851855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99</v>
      </c>
      <c r="E224">
        <v>100</v>
      </c>
      <c r="F224" s="1">
        <v>44345.786504629628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101</v>
      </c>
      <c r="E225">
        <v>90</v>
      </c>
      <c r="F225" s="1">
        <v>44345.790497685186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112</v>
      </c>
      <c r="E227">
        <v>80</v>
      </c>
      <c r="F227" s="1">
        <v>44353.008287037039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115</v>
      </c>
      <c r="E228">
        <v>60</v>
      </c>
      <c r="F228" s="1">
        <v>44353.009409722225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99</v>
      </c>
      <c r="E229">
        <v>100</v>
      </c>
      <c r="F229" s="1">
        <v>44353.01053240741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99</v>
      </c>
      <c r="E230">
        <v>60</v>
      </c>
      <c r="F230" s="1">
        <v>44348.717928240738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105</v>
      </c>
      <c r="E231">
        <v>60</v>
      </c>
      <c r="F231" s="1">
        <v>44348.718275462961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112</v>
      </c>
      <c r="E232">
        <v>60</v>
      </c>
      <c r="F232" s="1">
        <v>44348.726504629631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100</v>
      </c>
      <c r="E233">
        <v>80</v>
      </c>
      <c r="F233" s="1">
        <v>44348.727650462963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111</v>
      </c>
      <c r="E234">
        <v>90</v>
      </c>
      <c r="F234" s="1">
        <v>44352.98165509259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112</v>
      </c>
      <c r="E235">
        <v>100</v>
      </c>
      <c r="F235" s="1">
        <v>44352.982141203705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115</v>
      </c>
      <c r="E236">
        <v>70</v>
      </c>
      <c r="F236" s="1">
        <v>44352.984710648147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70</v>
      </c>
      <c r="E237">
        <v>80</v>
      </c>
      <c r="F237" s="1">
        <v>44352.98641203704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111</v>
      </c>
      <c r="E242">
        <v>75</v>
      </c>
      <c r="F242" s="1">
        <v>44369.616099537037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112</v>
      </c>
      <c r="E243">
        <v>100</v>
      </c>
      <c r="F243" s="1">
        <v>44369.61650462963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99</v>
      </c>
      <c r="E244">
        <v>100</v>
      </c>
      <c r="F244" s="1">
        <v>44369.61822916667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100</v>
      </c>
      <c r="E245">
        <v>90</v>
      </c>
      <c r="F245" s="1">
        <v>44369.619108796294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100</v>
      </c>
      <c r="E249">
        <v>90</v>
      </c>
      <c r="F249" s="1">
        <v>44374.957430555558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99</v>
      </c>
      <c r="E250">
        <v>60</v>
      </c>
      <c r="F250" s="1">
        <v>44369.726666666669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100</v>
      </c>
      <c r="E251">
        <v>80</v>
      </c>
      <c r="F251" s="1">
        <v>44369.748356481483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111</v>
      </c>
      <c r="E252">
        <v>100</v>
      </c>
      <c r="F252" s="1">
        <v>44369.751956018517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108</v>
      </c>
      <c r="E253">
        <v>100</v>
      </c>
      <c r="F253" s="1">
        <v>44369.755046296297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B072-309E-4EBA-909B-3D93EB9920B5}">
  <sheetPr codeName="Hoja3"/>
  <dimension ref="A1:Q320"/>
  <sheetViews>
    <sheetView tabSelected="1" zoomScaleNormal="100" workbookViewId="0">
      <pane ySplit="1" topLeftCell="A11" activePane="bottomLeft" state="frozen"/>
      <selection activeCell="C1" sqref="C1"/>
      <selection pane="bottomLeft" activeCell="J67" sqref="J67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9.42578125" bestFit="1" customWidth="1"/>
    <col min="9" max="9" width="12.5703125" style="12" bestFit="1" customWidth="1"/>
    <col min="10" max="10" width="11.42578125" style="10"/>
    <col min="11" max="11" width="14.28515625" customWidth="1"/>
    <col min="13" max="13" width="5.42578125" bestFit="1" customWidth="1"/>
    <col min="14" max="15" width="5.42578125" customWidth="1"/>
    <col min="17" max="17" width="5.5703125" bestFit="1" customWidth="1"/>
  </cols>
  <sheetData>
    <row r="1" spans="1:17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I1" s="11"/>
      <c r="J1" s="9"/>
      <c r="P1" s="6" t="s">
        <v>52</v>
      </c>
    </row>
    <row r="2" spans="1:17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8</v>
      </c>
      <c r="F2" s="7" t="s">
        <v>51</v>
      </c>
      <c r="H2" t="s">
        <v>57</v>
      </c>
      <c r="I2" s="12" t="s">
        <v>56</v>
      </c>
      <c r="J2" s="12" t="s">
        <v>53</v>
      </c>
      <c r="M2" t="s">
        <v>60</v>
      </c>
      <c r="N2" t="s">
        <v>51</v>
      </c>
      <c r="O2" t="s">
        <v>58</v>
      </c>
    </row>
    <row r="3" spans="1:17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26</v>
      </c>
      <c r="F3" s="7" t="s">
        <v>51</v>
      </c>
      <c r="H3" t="s">
        <v>54</v>
      </c>
      <c r="I3" s="12">
        <v>2</v>
      </c>
      <c r="J3" s="13">
        <v>0.75</v>
      </c>
      <c r="L3" t="s">
        <v>54</v>
      </c>
      <c r="M3">
        <v>44</v>
      </c>
      <c r="N3">
        <v>41</v>
      </c>
      <c r="O3">
        <f>M3-N3</f>
        <v>3</v>
      </c>
      <c r="P3">
        <f>N3+O3</f>
        <v>44</v>
      </c>
      <c r="Q3" s="10">
        <f>N3/P3</f>
        <v>0.93181818181818177</v>
      </c>
    </row>
    <row r="4" spans="1:17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28</v>
      </c>
      <c r="F4" s="7" t="s">
        <v>51</v>
      </c>
      <c r="H4" t="s">
        <v>54</v>
      </c>
      <c r="I4" s="12">
        <v>9</v>
      </c>
      <c r="J4" s="13">
        <v>1</v>
      </c>
      <c r="L4" t="s">
        <v>55</v>
      </c>
      <c r="M4">
        <v>22</v>
      </c>
      <c r="N4">
        <v>17</v>
      </c>
      <c r="O4">
        <f>M4-N4</f>
        <v>5</v>
      </c>
      <c r="P4">
        <f>N4+O4</f>
        <v>22</v>
      </c>
      <c r="Q4" s="10">
        <f>N4/P4</f>
        <v>0.77272727272727271</v>
      </c>
    </row>
    <row r="5" spans="1:17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39</v>
      </c>
      <c r="H5" t="s">
        <v>54</v>
      </c>
      <c r="I5" s="12">
        <v>17</v>
      </c>
      <c r="J5" s="13">
        <v>1</v>
      </c>
    </row>
    <row r="6" spans="1:17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19</v>
      </c>
      <c r="F6" s="7" t="s">
        <v>51</v>
      </c>
      <c r="H6" t="s">
        <v>54</v>
      </c>
      <c r="I6" s="12">
        <v>33</v>
      </c>
      <c r="J6" s="13">
        <v>1</v>
      </c>
    </row>
    <row r="7" spans="1:17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38</v>
      </c>
      <c r="F7" s="7" t="s">
        <v>51</v>
      </c>
      <c r="H7" t="s">
        <v>54</v>
      </c>
      <c r="I7" s="12">
        <v>34</v>
      </c>
      <c r="J7" s="13">
        <v>1</v>
      </c>
    </row>
    <row r="8" spans="1:17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44</v>
      </c>
      <c r="F8" s="7" t="s">
        <v>51</v>
      </c>
      <c r="H8" t="s">
        <v>54</v>
      </c>
      <c r="I8" s="12">
        <v>42</v>
      </c>
      <c r="J8" s="13">
        <v>1</v>
      </c>
    </row>
    <row r="9" spans="1:17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6</v>
      </c>
      <c r="F9" s="7" t="s">
        <v>51</v>
      </c>
      <c r="H9" t="s">
        <v>54</v>
      </c>
      <c r="I9" s="12">
        <v>43</v>
      </c>
      <c r="J9" s="13">
        <v>1</v>
      </c>
    </row>
    <row r="10" spans="1:17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6</v>
      </c>
      <c r="F10" s="7" t="s">
        <v>51</v>
      </c>
      <c r="H10" t="s">
        <v>54</v>
      </c>
      <c r="I10" s="12">
        <v>44</v>
      </c>
      <c r="J10" s="13">
        <v>1</v>
      </c>
    </row>
    <row r="11" spans="1:17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33</v>
      </c>
      <c r="F11" s="7" t="s">
        <v>51</v>
      </c>
      <c r="H11" t="s">
        <v>54</v>
      </c>
      <c r="I11" s="12">
        <v>47</v>
      </c>
      <c r="J11" s="13">
        <v>1</v>
      </c>
    </row>
    <row r="12" spans="1:17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34</v>
      </c>
      <c r="F12" s="7" t="s">
        <v>51</v>
      </c>
      <c r="H12" t="s">
        <v>54</v>
      </c>
      <c r="I12" s="12">
        <v>50</v>
      </c>
      <c r="J12" s="13">
        <v>1</v>
      </c>
    </row>
    <row r="13" spans="1:17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38</v>
      </c>
      <c r="F13" s="7" t="s">
        <v>51</v>
      </c>
      <c r="H13" t="s">
        <v>54</v>
      </c>
      <c r="I13" s="12">
        <v>51</v>
      </c>
      <c r="J13" s="13">
        <v>1</v>
      </c>
    </row>
    <row r="14" spans="1:17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34</v>
      </c>
      <c r="F14" s="7" t="s">
        <v>51</v>
      </c>
      <c r="H14" t="s">
        <v>54</v>
      </c>
      <c r="I14" s="12">
        <v>52</v>
      </c>
      <c r="J14" s="13">
        <v>1</v>
      </c>
    </row>
    <row r="15" spans="1:17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35</v>
      </c>
      <c r="F15" s="7" t="s">
        <v>51</v>
      </c>
      <c r="H15" t="s">
        <v>54</v>
      </c>
      <c r="I15" s="12">
        <v>61</v>
      </c>
      <c r="J15" s="13">
        <v>0.25</v>
      </c>
    </row>
    <row r="16" spans="1:17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38</v>
      </c>
      <c r="F16" s="7" t="s">
        <v>51</v>
      </c>
      <c r="H16" t="s">
        <v>54</v>
      </c>
      <c r="I16" s="12">
        <v>68</v>
      </c>
      <c r="J16" s="13">
        <v>1</v>
      </c>
    </row>
    <row r="17" spans="1:10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39</v>
      </c>
      <c r="F17" s="7" t="s">
        <v>51</v>
      </c>
      <c r="H17" t="s">
        <v>54</v>
      </c>
      <c r="I17" s="12">
        <v>81</v>
      </c>
      <c r="J17" s="13">
        <v>1</v>
      </c>
    </row>
    <row r="18" spans="1:10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41</v>
      </c>
      <c r="F18" s="7" t="s">
        <v>51</v>
      </c>
      <c r="H18" t="s">
        <v>54</v>
      </c>
      <c r="I18" s="12">
        <v>82</v>
      </c>
      <c r="J18" s="13">
        <v>1</v>
      </c>
    </row>
    <row r="19" spans="1:10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44</v>
      </c>
      <c r="F19" s="7" t="s">
        <v>51</v>
      </c>
      <c r="H19" t="s">
        <v>54</v>
      </c>
      <c r="I19" s="12">
        <v>83</v>
      </c>
      <c r="J19" s="13">
        <v>1</v>
      </c>
    </row>
    <row r="20" spans="1:10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51</v>
      </c>
      <c r="F20" s="7" t="s">
        <v>51</v>
      </c>
      <c r="H20" t="s">
        <v>54</v>
      </c>
      <c r="I20" s="12">
        <v>84</v>
      </c>
      <c r="J20" s="13">
        <v>1</v>
      </c>
    </row>
    <row r="21" spans="1:10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52</v>
      </c>
      <c r="F21" s="7" t="s">
        <v>51</v>
      </c>
      <c r="H21" t="s">
        <v>54</v>
      </c>
      <c r="I21" s="12">
        <v>85</v>
      </c>
      <c r="J21" s="13">
        <v>1</v>
      </c>
    </row>
    <row r="22" spans="1:10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6</v>
      </c>
      <c r="F22" s="7" t="s">
        <v>51</v>
      </c>
      <c r="H22" t="s">
        <v>54</v>
      </c>
      <c r="I22" s="12">
        <v>86</v>
      </c>
      <c r="J22" s="13">
        <v>1</v>
      </c>
    </row>
    <row r="23" spans="1:10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8</v>
      </c>
      <c r="F23" s="7" t="s">
        <v>51</v>
      </c>
      <c r="H23" t="s">
        <v>54</v>
      </c>
      <c r="I23" s="12">
        <v>90</v>
      </c>
      <c r="J23" s="13">
        <v>1</v>
      </c>
    </row>
    <row r="24" spans="1:10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19</v>
      </c>
      <c r="F24" s="7" t="s">
        <v>51</v>
      </c>
      <c r="H24" t="s">
        <v>54</v>
      </c>
      <c r="I24" s="12">
        <v>91</v>
      </c>
      <c r="J24" s="13">
        <v>1</v>
      </c>
    </row>
    <row r="25" spans="1:10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26</v>
      </c>
      <c r="F25" s="7" t="s">
        <v>51</v>
      </c>
      <c r="H25" t="s">
        <v>54</v>
      </c>
      <c r="I25" s="12">
        <v>143</v>
      </c>
      <c r="J25" s="13">
        <v>1</v>
      </c>
    </row>
    <row r="26" spans="1:10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8</v>
      </c>
      <c r="F26" s="7" t="s">
        <v>51</v>
      </c>
      <c r="H26" t="s">
        <v>54</v>
      </c>
      <c r="I26" s="12">
        <v>150</v>
      </c>
      <c r="J26" s="13">
        <v>1</v>
      </c>
    </row>
    <row r="27" spans="1:10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19</v>
      </c>
      <c r="F27" s="7" t="s">
        <v>51</v>
      </c>
      <c r="H27" t="s">
        <v>54</v>
      </c>
      <c r="I27" s="12">
        <v>158</v>
      </c>
      <c r="J27" s="13">
        <v>1</v>
      </c>
    </row>
    <row r="28" spans="1:10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26</v>
      </c>
      <c r="F28" s="7" t="s">
        <v>51</v>
      </c>
      <c r="H28" t="s">
        <v>54</v>
      </c>
      <c r="I28" s="12">
        <v>174</v>
      </c>
      <c r="J28" s="13">
        <v>1</v>
      </c>
    </row>
    <row r="29" spans="1:10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33</v>
      </c>
      <c r="F29" s="7" t="s">
        <v>51</v>
      </c>
      <c r="H29" t="s">
        <v>54</v>
      </c>
      <c r="I29" s="12">
        <v>175</v>
      </c>
      <c r="J29" s="13">
        <v>1</v>
      </c>
    </row>
    <row r="30" spans="1:10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6</v>
      </c>
      <c r="F30" s="7" t="s">
        <v>51</v>
      </c>
      <c r="H30" t="s">
        <v>54</v>
      </c>
      <c r="I30" s="12">
        <v>183</v>
      </c>
      <c r="J30" s="13">
        <v>1</v>
      </c>
    </row>
    <row r="31" spans="1:10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8</v>
      </c>
      <c r="F31" s="7" t="s">
        <v>51</v>
      </c>
      <c r="H31" t="s">
        <v>54</v>
      </c>
      <c r="I31" s="12">
        <v>184</v>
      </c>
      <c r="J31" s="13">
        <v>1</v>
      </c>
    </row>
    <row r="32" spans="1:10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19</v>
      </c>
      <c r="F32" s="7" t="s">
        <v>51</v>
      </c>
      <c r="H32" t="s">
        <v>54</v>
      </c>
      <c r="I32" s="12">
        <v>185</v>
      </c>
      <c r="J32" s="13">
        <v>1</v>
      </c>
    </row>
    <row r="33" spans="1:10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26</v>
      </c>
      <c r="F33" s="7" t="s">
        <v>51</v>
      </c>
      <c r="H33" t="s">
        <v>54</v>
      </c>
      <c r="I33" s="12">
        <v>188</v>
      </c>
      <c r="J33" s="13">
        <v>1</v>
      </c>
    </row>
    <row r="34" spans="1:10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45</v>
      </c>
      <c r="F34" s="7" t="s">
        <v>51</v>
      </c>
      <c r="H34" t="s">
        <v>54</v>
      </c>
      <c r="I34" s="12">
        <v>191</v>
      </c>
      <c r="J34" s="13">
        <v>1</v>
      </c>
    </row>
    <row r="35" spans="1:10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39</v>
      </c>
      <c r="F35" s="7" t="s">
        <v>51</v>
      </c>
      <c r="H35" t="s">
        <v>54</v>
      </c>
      <c r="I35" s="12">
        <v>192</v>
      </c>
      <c r="J35" s="13">
        <v>1</v>
      </c>
    </row>
    <row r="36" spans="1:10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34</v>
      </c>
      <c r="F36" s="7" t="s">
        <v>51</v>
      </c>
      <c r="H36" t="s">
        <v>54</v>
      </c>
      <c r="I36" s="12">
        <v>193</v>
      </c>
      <c r="J36" s="13">
        <v>1</v>
      </c>
    </row>
    <row r="37" spans="1:10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54</v>
      </c>
      <c r="F37" s="7" t="s">
        <v>51</v>
      </c>
      <c r="H37" t="s">
        <v>54</v>
      </c>
      <c r="I37" s="12">
        <v>202</v>
      </c>
      <c r="J37" s="13">
        <v>0.25</v>
      </c>
    </row>
    <row r="38" spans="1:10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6</v>
      </c>
      <c r="F38" s="7" t="s">
        <v>51</v>
      </c>
      <c r="H38" t="s">
        <v>54</v>
      </c>
      <c r="I38" s="12">
        <v>209</v>
      </c>
      <c r="J38" s="13">
        <v>1</v>
      </c>
    </row>
    <row r="39" spans="1:10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19</v>
      </c>
      <c r="F39" s="7" t="s">
        <v>51</v>
      </c>
      <c r="H39" t="s">
        <v>54</v>
      </c>
      <c r="I39" s="12">
        <v>222</v>
      </c>
      <c r="J39" s="13">
        <v>1</v>
      </c>
    </row>
    <row r="40" spans="1:10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33</v>
      </c>
      <c r="F40" s="7" t="s">
        <v>51</v>
      </c>
      <c r="H40" t="s">
        <v>54</v>
      </c>
      <c r="I40" s="12">
        <v>223</v>
      </c>
      <c r="J40" s="13">
        <v>1</v>
      </c>
    </row>
    <row r="41" spans="1:10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34</v>
      </c>
      <c r="F41" s="7" t="s">
        <v>51</v>
      </c>
      <c r="H41" t="s">
        <v>54</v>
      </c>
      <c r="I41" s="12">
        <v>224</v>
      </c>
      <c r="J41" s="13">
        <v>1</v>
      </c>
    </row>
    <row r="42" spans="1:10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41</v>
      </c>
      <c r="F42" s="7" t="s">
        <v>51</v>
      </c>
      <c r="H42" t="s">
        <v>54</v>
      </c>
      <c r="I42" s="12">
        <v>225</v>
      </c>
      <c r="J42" s="13">
        <v>1</v>
      </c>
    </row>
    <row r="43" spans="1:10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43</v>
      </c>
      <c r="F43" s="7" t="s">
        <v>51</v>
      </c>
      <c r="H43" t="s">
        <v>54</v>
      </c>
      <c r="I43" s="12">
        <v>226</v>
      </c>
      <c r="J43" s="13">
        <v>1</v>
      </c>
    </row>
    <row r="44" spans="1:10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45</v>
      </c>
      <c r="F44" s="7" t="s">
        <v>51</v>
      </c>
      <c r="H44" t="s">
        <v>54</v>
      </c>
      <c r="I44" s="12">
        <v>227</v>
      </c>
      <c r="J44" s="13">
        <v>1</v>
      </c>
    </row>
    <row r="45" spans="1:10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50</v>
      </c>
      <c r="F45" s="7" t="s">
        <v>51</v>
      </c>
      <c r="H45" t="s">
        <v>54</v>
      </c>
      <c r="I45" s="12">
        <v>231</v>
      </c>
      <c r="J45" s="13">
        <v>1</v>
      </c>
    </row>
    <row r="46" spans="1:10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45</v>
      </c>
      <c r="F46" s="7" t="s">
        <v>51</v>
      </c>
      <c r="H46" t="s">
        <v>54</v>
      </c>
      <c r="I46" s="12">
        <v>232</v>
      </c>
      <c r="J46" s="13">
        <v>1</v>
      </c>
    </row>
    <row r="47" spans="1:10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50</v>
      </c>
      <c r="F47" s="7" t="s">
        <v>51</v>
      </c>
      <c r="H47" t="s">
        <v>55</v>
      </c>
      <c r="I47" s="12">
        <v>110</v>
      </c>
      <c r="J47" s="13">
        <v>0.5</v>
      </c>
    </row>
    <row r="48" spans="1:10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52</v>
      </c>
      <c r="F48" s="7" t="s">
        <v>51</v>
      </c>
      <c r="H48" t="s">
        <v>55</v>
      </c>
      <c r="I48" s="12">
        <v>112</v>
      </c>
      <c r="J48" s="13">
        <v>1</v>
      </c>
    </row>
    <row r="49" spans="1:10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54</v>
      </c>
      <c r="F49" s="7" t="s">
        <v>51</v>
      </c>
      <c r="H49" t="s">
        <v>55</v>
      </c>
      <c r="I49" s="12">
        <v>113</v>
      </c>
      <c r="J49" s="13">
        <v>1</v>
      </c>
    </row>
    <row r="50" spans="1:10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55</v>
      </c>
      <c r="I50" s="12">
        <v>114</v>
      </c>
      <c r="J50" s="13">
        <v>1</v>
      </c>
    </row>
    <row r="51" spans="1:10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41</v>
      </c>
      <c r="F51" s="7" t="s">
        <v>51</v>
      </c>
      <c r="H51" t="s">
        <v>55</v>
      </c>
      <c r="I51" s="12">
        <v>115</v>
      </c>
      <c r="J51" s="13">
        <v>1</v>
      </c>
    </row>
    <row r="52" spans="1:10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44</v>
      </c>
      <c r="F52" s="7" t="s">
        <v>51</v>
      </c>
      <c r="H52" t="s">
        <v>55</v>
      </c>
      <c r="I52" s="12">
        <v>116</v>
      </c>
      <c r="J52" s="13">
        <v>1</v>
      </c>
    </row>
    <row r="53" spans="1:10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45</v>
      </c>
      <c r="F53" s="7" t="s">
        <v>51</v>
      </c>
      <c r="H53" t="s">
        <v>55</v>
      </c>
      <c r="I53" s="12">
        <v>117</v>
      </c>
      <c r="J53" s="13">
        <v>1</v>
      </c>
    </row>
    <row r="54" spans="1:10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6</v>
      </c>
      <c r="F54" s="7" t="s">
        <v>51</v>
      </c>
      <c r="H54" t="s">
        <v>55</v>
      </c>
      <c r="I54" s="12">
        <v>118</v>
      </c>
      <c r="J54" s="13">
        <v>1</v>
      </c>
    </row>
    <row r="55" spans="1:10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26</v>
      </c>
      <c r="F55" s="7" t="s">
        <v>51</v>
      </c>
      <c r="H55" t="s">
        <v>55</v>
      </c>
      <c r="I55" s="12">
        <v>119</v>
      </c>
      <c r="J55" s="13">
        <v>1</v>
      </c>
    </row>
    <row r="56" spans="1:10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28</v>
      </c>
      <c r="F56" s="7" t="s">
        <v>51</v>
      </c>
      <c r="H56" t="s">
        <v>55</v>
      </c>
      <c r="I56" s="12">
        <v>120</v>
      </c>
      <c r="J56" s="13">
        <v>1</v>
      </c>
    </row>
    <row r="57" spans="1:10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33</v>
      </c>
      <c r="F57" s="7" t="s">
        <v>51</v>
      </c>
      <c r="H57" t="s">
        <v>55</v>
      </c>
      <c r="I57" s="12">
        <v>121</v>
      </c>
      <c r="J57" s="13">
        <v>1</v>
      </c>
    </row>
    <row r="58" spans="1:10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34</v>
      </c>
      <c r="F58" s="7" t="s">
        <v>51</v>
      </c>
      <c r="H58" t="s">
        <v>55</v>
      </c>
      <c r="I58" s="12">
        <v>123</v>
      </c>
      <c r="J58" s="13">
        <v>1</v>
      </c>
    </row>
    <row r="59" spans="1:10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8</v>
      </c>
      <c r="F59" s="7" t="s">
        <v>51</v>
      </c>
      <c r="H59" t="s">
        <v>55</v>
      </c>
      <c r="I59" s="12">
        <v>125</v>
      </c>
      <c r="J59" s="13">
        <v>0.75</v>
      </c>
    </row>
    <row r="60" spans="1:10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26</v>
      </c>
      <c r="F60" s="7" t="s">
        <v>51</v>
      </c>
      <c r="H60" t="s">
        <v>55</v>
      </c>
      <c r="I60" s="12">
        <v>126</v>
      </c>
      <c r="J60" s="13">
        <v>1</v>
      </c>
    </row>
    <row r="61" spans="1:10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28</v>
      </c>
      <c r="F61" s="7" t="s">
        <v>51</v>
      </c>
      <c r="H61" t="s">
        <v>55</v>
      </c>
      <c r="I61" s="12">
        <v>127</v>
      </c>
      <c r="J61" s="13">
        <v>1</v>
      </c>
    </row>
    <row r="62" spans="1:10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33</v>
      </c>
      <c r="F62" s="7" t="s">
        <v>51</v>
      </c>
      <c r="H62" t="s">
        <v>55</v>
      </c>
      <c r="I62" s="12">
        <v>128</v>
      </c>
      <c r="J62" s="13">
        <v>0.5</v>
      </c>
    </row>
    <row r="63" spans="1:10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8</v>
      </c>
      <c r="F63" s="7" t="s">
        <v>51</v>
      </c>
      <c r="H63" t="s">
        <v>55</v>
      </c>
      <c r="I63" s="12">
        <v>129</v>
      </c>
      <c r="J63" s="13">
        <v>0.75</v>
      </c>
    </row>
    <row r="64" spans="1:10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19</v>
      </c>
      <c r="F64" s="7" t="s">
        <v>51</v>
      </c>
      <c r="H64" t="s">
        <v>55</v>
      </c>
      <c r="I64" s="12">
        <v>131</v>
      </c>
      <c r="J64" s="13">
        <v>1</v>
      </c>
    </row>
    <row r="65" spans="1:10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26</v>
      </c>
      <c r="F65" s="7" t="s">
        <v>51</v>
      </c>
      <c r="H65" t="s">
        <v>55</v>
      </c>
      <c r="I65" s="12">
        <v>132</v>
      </c>
      <c r="J65" s="13">
        <v>1</v>
      </c>
    </row>
    <row r="66" spans="1:10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28</v>
      </c>
      <c r="F66" s="7" t="s">
        <v>51</v>
      </c>
      <c r="H66" t="s">
        <v>55</v>
      </c>
      <c r="I66" s="12">
        <v>133</v>
      </c>
      <c r="J66" s="13">
        <v>1</v>
      </c>
    </row>
    <row r="67" spans="1:10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8</v>
      </c>
      <c r="F67" s="7" t="s">
        <v>51</v>
      </c>
      <c r="H67" t="s">
        <v>55</v>
      </c>
      <c r="I67" s="12">
        <v>134</v>
      </c>
      <c r="J67" s="13">
        <v>0.75</v>
      </c>
    </row>
    <row r="68" spans="1:10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19</v>
      </c>
      <c r="F68" s="7" t="s">
        <v>51</v>
      </c>
      <c r="H68" t="s">
        <v>55</v>
      </c>
      <c r="I68" s="12">
        <v>135</v>
      </c>
      <c r="J68" s="13">
        <v>1</v>
      </c>
    </row>
    <row r="69" spans="1:10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26</v>
      </c>
      <c r="F69" s="7" t="s">
        <v>51</v>
      </c>
    </row>
    <row r="70" spans="1:10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28</v>
      </c>
      <c r="F70" s="7" t="s">
        <v>51</v>
      </c>
    </row>
    <row r="71" spans="1:10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8</v>
      </c>
      <c r="F71" s="7" t="s">
        <v>51</v>
      </c>
    </row>
    <row r="72" spans="1:10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19</v>
      </c>
      <c r="F72" s="7" t="s">
        <v>51</v>
      </c>
    </row>
    <row r="73" spans="1:10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26</v>
      </c>
      <c r="F73" s="7" t="s">
        <v>51</v>
      </c>
    </row>
    <row r="74" spans="1:10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28</v>
      </c>
      <c r="F74" s="7" t="s">
        <v>51</v>
      </c>
    </row>
    <row r="75" spans="1:10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8</v>
      </c>
      <c r="F75" s="7" t="s">
        <v>51</v>
      </c>
    </row>
    <row r="76" spans="1:10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19</v>
      </c>
      <c r="F76" s="7" t="s">
        <v>51</v>
      </c>
    </row>
    <row r="77" spans="1:10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26</v>
      </c>
      <c r="F77" s="7" t="s">
        <v>51</v>
      </c>
    </row>
    <row r="78" spans="1:10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28</v>
      </c>
      <c r="F78" s="7" t="s">
        <v>51</v>
      </c>
    </row>
    <row r="79" spans="1:10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41</v>
      </c>
      <c r="F79" s="7" t="s">
        <v>51</v>
      </c>
    </row>
    <row r="80" spans="1:10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43</v>
      </c>
      <c r="F80" s="7" t="s">
        <v>51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44</v>
      </c>
      <c r="F81" s="7" t="s">
        <v>51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45</v>
      </c>
      <c r="F82" s="7" t="s">
        <v>51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41</v>
      </c>
      <c r="F83" s="7" t="s">
        <v>51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43</v>
      </c>
      <c r="F84" s="7" t="s">
        <v>51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44</v>
      </c>
      <c r="F85" s="7" t="s">
        <v>51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45</v>
      </c>
      <c r="F86" s="7" t="s">
        <v>51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8</v>
      </c>
      <c r="F87" s="7" t="s">
        <v>51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26</v>
      </c>
      <c r="F88" s="7" t="s">
        <v>51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28</v>
      </c>
      <c r="F89" s="7" t="s">
        <v>51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39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19</v>
      </c>
      <c r="F91" s="7" t="s">
        <v>51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38</v>
      </c>
      <c r="F92" s="7" t="s">
        <v>51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44</v>
      </c>
      <c r="F93" s="7" t="s"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6</v>
      </c>
      <c r="F94" s="7" t="s">
        <v>51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6</v>
      </c>
      <c r="F95" s="7" t="s">
        <v>51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33</v>
      </c>
      <c r="F96" s="7" t="s">
        <v>51</v>
      </c>
    </row>
    <row r="97" spans="1:6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34</v>
      </c>
      <c r="F97" s="7" t="s">
        <v>51</v>
      </c>
    </row>
    <row r="98" spans="1:6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38</v>
      </c>
      <c r="F98" s="7" t="s">
        <v>51</v>
      </c>
    </row>
    <row r="99" spans="1:6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34</v>
      </c>
      <c r="F99" s="7" t="s">
        <v>51</v>
      </c>
    </row>
    <row r="100" spans="1:6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35</v>
      </c>
      <c r="F100" s="7" t="s">
        <v>51</v>
      </c>
    </row>
    <row r="101" spans="1:6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38</v>
      </c>
      <c r="F101" s="7" t="s">
        <v>51</v>
      </c>
    </row>
    <row r="102" spans="1:6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39</v>
      </c>
      <c r="F102" s="7" t="s">
        <v>51</v>
      </c>
    </row>
    <row r="103" spans="1:6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41</v>
      </c>
      <c r="F103" s="7" t="s">
        <v>51</v>
      </c>
    </row>
    <row r="104" spans="1:6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44</v>
      </c>
      <c r="F104" s="7" t="s">
        <v>51</v>
      </c>
    </row>
    <row r="105" spans="1:6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51</v>
      </c>
      <c r="F105" s="7" t="s">
        <v>51</v>
      </c>
    </row>
    <row r="106" spans="1:6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52</v>
      </c>
      <c r="F106" s="7" t="s">
        <v>51</v>
      </c>
    </row>
    <row r="107" spans="1:6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6</v>
      </c>
      <c r="F107" s="7" t="s">
        <v>51</v>
      </c>
    </row>
    <row r="108" spans="1:6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8</v>
      </c>
      <c r="F108" s="7" t="s">
        <v>51</v>
      </c>
    </row>
    <row r="109" spans="1:6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19</v>
      </c>
      <c r="F109" s="7" t="s">
        <v>51</v>
      </c>
    </row>
    <row r="110" spans="1:6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26</v>
      </c>
      <c r="F110" s="7" t="s">
        <v>51</v>
      </c>
    </row>
    <row r="111" spans="1:6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8</v>
      </c>
      <c r="F111" s="7" t="s">
        <v>51</v>
      </c>
    </row>
    <row r="112" spans="1:6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19</v>
      </c>
      <c r="F112" s="7" t="s">
        <v>51</v>
      </c>
    </row>
    <row r="113" spans="1:6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26</v>
      </c>
      <c r="F113" s="7" t="s">
        <v>51</v>
      </c>
    </row>
    <row r="114" spans="1:6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33</v>
      </c>
      <c r="F114" s="7" t="s">
        <v>51</v>
      </c>
    </row>
    <row r="115" spans="1:6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6</v>
      </c>
      <c r="F115" s="7" t="s">
        <v>51</v>
      </c>
    </row>
    <row r="116" spans="1:6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8</v>
      </c>
      <c r="F116" s="7" t="s">
        <v>51</v>
      </c>
    </row>
    <row r="117" spans="1:6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19</v>
      </c>
      <c r="F117" s="7" t="s">
        <v>51</v>
      </c>
    </row>
    <row r="118" spans="1:6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26</v>
      </c>
      <c r="F118" s="7" t="s">
        <v>51</v>
      </c>
    </row>
    <row r="119" spans="1:6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45</v>
      </c>
      <c r="F119" s="7" t="s">
        <v>51</v>
      </c>
    </row>
    <row r="120" spans="1:6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39</v>
      </c>
      <c r="F120" s="7" t="s">
        <v>51</v>
      </c>
    </row>
    <row r="121" spans="1:6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34</v>
      </c>
      <c r="F121" s="7" t="s">
        <v>51</v>
      </c>
    </row>
    <row r="122" spans="1:6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54</v>
      </c>
      <c r="F122" s="7" t="s">
        <v>51</v>
      </c>
    </row>
    <row r="123" spans="1:6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6</v>
      </c>
      <c r="F123" s="7" t="s">
        <v>51</v>
      </c>
    </row>
    <row r="124" spans="1:6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19</v>
      </c>
      <c r="F124" s="7" t="s">
        <v>51</v>
      </c>
    </row>
    <row r="125" spans="1:6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33</v>
      </c>
      <c r="F125" s="7" t="s">
        <v>51</v>
      </c>
    </row>
    <row r="126" spans="1:6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34</v>
      </c>
      <c r="F126" s="7" t="s">
        <v>51</v>
      </c>
    </row>
    <row r="127" spans="1:6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41</v>
      </c>
      <c r="F127" s="7" t="s">
        <v>51</v>
      </c>
    </row>
    <row r="128" spans="1:6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43</v>
      </c>
      <c r="F128" s="7" t="s">
        <v>51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45</v>
      </c>
      <c r="F129" s="7" t="s">
        <v>51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50</v>
      </c>
      <c r="F130" s="7" t="s">
        <v>51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45</v>
      </c>
      <c r="F131" s="7" t="s">
        <v>51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50</v>
      </c>
      <c r="F132" s="7" t="s">
        <v>51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52</v>
      </c>
      <c r="F133" s="7" t="s">
        <v>51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54</v>
      </c>
      <c r="F134" s="7" t="s">
        <v>51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41</v>
      </c>
      <c r="F136" s="7" t="s">
        <v>51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44</v>
      </c>
      <c r="F137" s="7" t="s">
        <v>51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45</v>
      </c>
      <c r="F138" s="7" t="s">
        <v>51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6</v>
      </c>
      <c r="F139" s="7" t="s">
        <v>51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26</v>
      </c>
      <c r="F140" s="7" t="s">
        <v>51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28</v>
      </c>
      <c r="F141" s="7" t="s">
        <v>51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33</v>
      </c>
      <c r="F142" s="7" t="s">
        <v>51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34</v>
      </c>
      <c r="F143" s="7" t="s">
        <v>51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8</v>
      </c>
      <c r="F144" s="7" t="s">
        <v>51</v>
      </c>
    </row>
    <row r="145" spans="1:6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26</v>
      </c>
      <c r="F145" s="7" t="s">
        <v>51</v>
      </c>
    </row>
    <row r="146" spans="1:6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28</v>
      </c>
      <c r="F146" s="7" t="s">
        <v>51</v>
      </c>
    </row>
    <row r="147" spans="1:6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33</v>
      </c>
      <c r="F147" s="7" t="s">
        <v>51</v>
      </c>
    </row>
    <row r="148" spans="1:6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8</v>
      </c>
      <c r="F148" s="7" t="s">
        <v>51</v>
      </c>
    </row>
    <row r="149" spans="1:6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19</v>
      </c>
      <c r="F149" s="7" t="s">
        <v>51</v>
      </c>
    </row>
    <row r="150" spans="1:6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26</v>
      </c>
      <c r="F150" s="7" t="s">
        <v>51</v>
      </c>
    </row>
    <row r="151" spans="1:6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28</v>
      </c>
      <c r="F151" s="7" t="s">
        <v>51</v>
      </c>
    </row>
    <row r="152" spans="1:6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8</v>
      </c>
      <c r="F152" s="7" t="s">
        <v>51</v>
      </c>
    </row>
    <row r="153" spans="1:6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19</v>
      </c>
      <c r="F153" s="7" t="s">
        <v>51</v>
      </c>
    </row>
    <row r="154" spans="1:6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26</v>
      </c>
      <c r="F154" s="7" t="s">
        <v>51</v>
      </c>
    </row>
    <row r="155" spans="1:6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28</v>
      </c>
      <c r="F155" s="7" t="s">
        <v>51</v>
      </c>
    </row>
    <row r="156" spans="1:6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8</v>
      </c>
      <c r="F156" s="7" t="s">
        <v>51</v>
      </c>
    </row>
    <row r="157" spans="1:6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19</v>
      </c>
      <c r="F157" s="7" t="s">
        <v>51</v>
      </c>
    </row>
    <row r="158" spans="1:6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26</v>
      </c>
      <c r="F158" s="7" t="s">
        <v>51</v>
      </c>
    </row>
    <row r="159" spans="1:6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28</v>
      </c>
      <c r="F159" s="7" t="s">
        <v>51</v>
      </c>
    </row>
    <row r="160" spans="1:6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8</v>
      </c>
      <c r="F160" s="7" t="s">
        <v>51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19</v>
      </c>
      <c r="F161" s="7" t="s">
        <v>51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26</v>
      </c>
      <c r="F162" s="7" t="s">
        <v>51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28</v>
      </c>
      <c r="F163" s="7" t="s">
        <v>51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41</v>
      </c>
      <c r="F164" s="7" t="s">
        <v>51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43</v>
      </c>
      <c r="F165" s="7" t="s">
        <v>51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44</v>
      </c>
      <c r="F166" s="7" t="s">
        <v>51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45</v>
      </c>
      <c r="F167" s="7" t="s">
        <v>51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41</v>
      </c>
      <c r="F168" s="7" t="s">
        <v>51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43</v>
      </c>
      <c r="F169" s="7" t="s">
        <v>51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44</v>
      </c>
      <c r="F170" s="7" t="s">
        <v>51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45</v>
      </c>
      <c r="F171" s="7" t="s">
        <v>51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100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106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70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101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102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103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112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115</v>
      </c>
      <c r="F179" s="7" t="s">
        <v>51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70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99</v>
      </c>
      <c r="F181" s="7" t="s">
        <v>51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111</v>
      </c>
      <c r="F182" s="7" t="s">
        <v>51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70</v>
      </c>
      <c r="F183" s="7" t="s">
        <v>51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100</v>
      </c>
      <c r="F184" s="7" t="s">
        <v>51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101</v>
      </c>
      <c r="F185" s="7" t="s">
        <v>51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111</v>
      </c>
      <c r="F186" s="7" t="s">
        <v>51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112</v>
      </c>
      <c r="F187" s="7" t="s">
        <v>51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113</v>
      </c>
      <c r="F188" s="7" t="s">
        <v>51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114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111</v>
      </c>
      <c r="F190" s="7" t="s">
        <v>51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113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70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99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111</v>
      </c>
      <c r="F194" s="7" t="s">
        <v>51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112</v>
      </c>
      <c r="F195" s="7" t="s">
        <v>51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70</v>
      </c>
      <c r="F196" s="7" t="s">
        <v>51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100</v>
      </c>
      <c r="F197" s="7" t="s">
        <v>51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101</v>
      </c>
      <c r="F198" s="7" t="s">
        <v>51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102</v>
      </c>
      <c r="F199" s="7" t="s">
        <v>51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103</v>
      </c>
      <c r="F200" s="7" t="s">
        <v>51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106</v>
      </c>
      <c r="F201" s="7" t="s">
        <v>51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115</v>
      </c>
      <c r="F202" s="7" t="s">
        <v>51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70</v>
      </c>
      <c r="F203" s="7" t="s">
        <v>51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99</v>
      </c>
      <c r="F204" s="7" t="s">
        <v>51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100</v>
      </c>
      <c r="F205" s="7" t="s">
        <v>51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102</v>
      </c>
      <c r="F206" s="7" t="s">
        <v>51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103</v>
      </c>
      <c r="F207" s="7" t="s">
        <v>51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107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101</v>
      </c>
      <c r="F209" s="7" t="s">
        <v>51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111</v>
      </c>
      <c r="F210" s="7" t="s">
        <v>51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112</v>
      </c>
      <c r="F211" s="7" t="s">
        <v>51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113</v>
      </c>
      <c r="F212" s="7" t="s">
        <v>51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70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111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112</v>
      </c>
      <c r="F215" s="7" t="s">
        <v>51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70</v>
      </c>
      <c r="F216" s="7" t="s">
        <v>51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99</v>
      </c>
      <c r="F217" s="7" t="s">
        <v>51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112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99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101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103</v>
      </c>
      <c r="F221" s="7" t="s">
        <v>51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111</v>
      </c>
      <c r="F222" s="7" t="s">
        <v>51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112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99</v>
      </c>
      <c r="F224" s="7" t="s">
        <v>51</v>
      </c>
    </row>
    <row r="225" spans="1:6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101</v>
      </c>
      <c r="F225" s="7" t="s">
        <v>51</v>
      </c>
    </row>
    <row r="226" spans="1:6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111</v>
      </c>
      <c r="F226" s="7" t="s">
        <v>51</v>
      </c>
    </row>
    <row r="227" spans="1:6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112</v>
      </c>
      <c r="F227" s="7" t="s">
        <v>51</v>
      </c>
    </row>
    <row r="228" spans="1:6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115</v>
      </c>
      <c r="F228" s="7" t="s">
        <v>51</v>
      </c>
    </row>
    <row r="229" spans="1:6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99</v>
      </c>
      <c r="F229" s="7" t="s">
        <v>51</v>
      </c>
    </row>
    <row r="230" spans="1:6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99</v>
      </c>
      <c r="F230" s="7" t="s">
        <v>51</v>
      </c>
    </row>
    <row r="231" spans="1:6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105</v>
      </c>
      <c r="F231" s="7" t="s">
        <v>51</v>
      </c>
    </row>
    <row r="232" spans="1:6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112</v>
      </c>
    </row>
    <row r="233" spans="1:6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100</v>
      </c>
    </row>
    <row r="234" spans="1:6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111</v>
      </c>
      <c r="F234" s="7" t="s">
        <v>51</v>
      </c>
    </row>
    <row r="235" spans="1:6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112</v>
      </c>
      <c r="F235" s="7" t="s">
        <v>51</v>
      </c>
    </row>
    <row r="236" spans="1:6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115</v>
      </c>
      <c r="F236" s="7" t="s">
        <v>51</v>
      </c>
    </row>
    <row r="237" spans="1:6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70</v>
      </c>
    </row>
    <row r="238" spans="1:6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111</v>
      </c>
      <c r="F238" s="7" t="s">
        <v>51</v>
      </c>
    </row>
    <row r="239" spans="1:6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99</v>
      </c>
      <c r="F239" s="7" t="s">
        <v>51</v>
      </c>
    </row>
    <row r="240" spans="1:6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100</v>
      </c>
      <c r="F240" s="7" t="s">
        <v>51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101</v>
      </c>
      <c r="F241" s="7" t="s">
        <v>51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111</v>
      </c>
      <c r="F242" s="7" t="s">
        <v>51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112</v>
      </c>
      <c r="F243" s="7" t="s">
        <v>51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99</v>
      </c>
      <c r="F244" s="7" t="s">
        <v>51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100</v>
      </c>
      <c r="F245" s="7" t="s">
        <v>51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111</v>
      </c>
      <c r="F246" s="7" t="s">
        <v>51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70</v>
      </c>
      <c r="F247" s="7" t="s">
        <v>51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99</v>
      </c>
      <c r="F248" s="7" t="s">
        <v>51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100</v>
      </c>
      <c r="F249" s="7" t="s">
        <v>51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99</v>
      </c>
      <c r="F250" s="7" t="s">
        <v>51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100</v>
      </c>
      <c r="F251" s="7" t="s">
        <v>51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111</v>
      </c>
      <c r="F252" s="7" t="s">
        <v>51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108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111</v>
      </c>
      <c r="F254" s="7" t="s">
        <v>51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112</v>
      </c>
      <c r="F255" s="7" t="s">
        <v>51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99</v>
      </c>
      <c r="F256" s="7" t="s">
        <v>51</v>
      </c>
    </row>
    <row r="257" spans="1:6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100</v>
      </c>
      <c r="F257" s="7" t="s">
        <v>51</v>
      </c>
    </row>
    <row r="320" spans="3:6" x14ac:dyDescent="0.25">
      <c r="C320" s="8"/>
      <c r="D320" s="8"/>
      <c r="E320" s="8"/>
      <c r="F320" s="8"/>
    </row>
  </sheetData>
  <phoneticPr fontId="2" type="noConversion"/>
  <conditionalFormatting sqref="J3:J68">
    <cfRule type="top10" dxfId="1" priority="1" percent="1" rank="80"/>
    <cfRule type="top10" dxfId="0" priority="2" percent="1" rank="10"/>
  </conditionalFormatting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Agrupamiento01_01</vt:lpstr>
      <vt:lpstr>Agrupamiento02_02</vt:lpstr>
      <vt:lpstr>Agrupamiento01vs02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2022-05-12T21:13:40Z</dcterms:created>
  <dcterms:modified xsi:type="dcterms:W3CDTF">2022-05-26T21:35:22Z</dcterms:modified>
</cp:coreProperties>
</file>